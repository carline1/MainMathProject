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Лист1" sheetId="1" r:id="rId1"/>
    <sheet name="Лист2" sheetId="2" r:id="rId2"/>
    <sheet name="Лист3" sheetId="3" r:id="rId3"/>
  </sheets>
  <calcPr calcId="145621"/>
</workbook>
</file>

<file path=xl/calcChain.xml><?xml version="1.0" encoding="utf-8"?>
<calcChain xmlns="http://schemas.openxmlformats.org/spreadsheetml/2006/main">
  <c r="F2" i="1" l="1"/>
  <c r="G3" i="1"/>
  <c r="G2" i="1"/>
  <c r="D16" i="1"/>
  <c r="E16" i="1" s="1"/>
  <c r="F16" i="1" s="1"/>
  <c r="F11" i="1" l="1"/>
  <c r="F7" i="1"/>
  <c r="F3" i="1"/>
  <c r="F8" i="1"/>
  <c r="F4" i="1"/>
  <c r="F10" i="1"/>
  <c r="F6" i="1"/>
  <c r="F9" i="1"/>
  <c r="F5" i="1"/>
  <c r="G8" i="1"/>
  <c r="G5" i="1"/>
  <c r="G7" i="1"/>
  <c r="G4" i="1"/>
  <c r="G10" i="1"/>
  <c r="G11" i="1"/>
  <c r="G9" i="1"/>
  <c r="G6" i="1"/>
  <c r="B16" i="1"/>
  <c r="D2" i="1"/>
  <c r="E2" i="1" s="1"/>
  <c r="D3" i="1"/>
  <c r="E3" i="1" s="1"/>
  <c r="D4" i="1"/>
  <c r="D5" i="1"/>
  <c r="D6" i="1"/>
  <c r="E6" i="1" s="1"/>
  <c r="D7" i="1"/>
  <c r="E8" i="1" s="1"/>
  <c r="D8" i="1"/>
  <c r="D9" i="1"/>
  <c r="E9" i="1" s="1"/>
  <c r="D10" i="1"/>
  <c r="E4" i="1" s="1"/>
  <c r="D11" i="1"/>
  <c r="E5" i="1" s="1"/>
  <c r="E11" i="1" l="1"/>
  <c r="E7" i="1"/>
  <c r="E10" i="1"/>
</calcChain>
</file>

<file path=xl/sharedStrings.xml><?xml version="1.0" encoding="utf-8"?>
<sst xmlns="http://schemas.openxmlformats.org/spreadsheetml/2006/main" count="10" uniqueCount="10">
  <si>
    <t>x</t>
  </si>
  <si>
    <t>y</t>
  </si>
  <si>
    <t>i</t>
  </si>
  <si>
    <t>(i-0,5)/n</t>
  </si>
  <si>
    <t>zt</t>
  </si>
  <si>
    <t>za</t>
  </si>
  <si>
    <t>dev</t>
  </si>
  <si>
    <t>corell</t>
  </si>
  <si>
    <t>a1</t>
  </si>
  <si>
    <t>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</si>
</sst>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0"/>
            <c:dispEq val="0"/>
          </c:trendline>
          <c:xVal>
            <c:numRef>
              <c:f>Лист1!$E$2:$E$11</c:f>
              <c:numCache>
                <c:formatCode>General</c:formatCode>
                <c:ptCount val="10"/>
                <c:pt idx="0">
                  <c:v>-1.6448536269514726</c:v>
                </c:pt>
                <c:pt idx="1">
                  <c:v>-1.0364333894937898</c:v>
                </c:pt>
                <c:pt idx="2">
                  <c:v>-0.67448975019608193</c:v>
                </c:pt>
                <c:pt idx="3">
                  <c:v>-0.38532046640756784</c:v>
                </c:pt>
                <c:pt idx="4">
                  <c:v>-0.12566134685507402</c:v>
                </c:pt>
                <c:pt idx="5">
                  <c:v>0.12566134685507416</c:v>
                </c:pt>
                <c:pt idx="6">
                  <c:v>0.38532046640756784</c:v>
                </c:pt>
                <c:pt idx="7">
                  <c:v>0.67448975019608193</c:v>
                </c:pt>
                <c:pt idx="8">
                  <c:v>1.0364333894937898</c:v>
                </c:pt>
                <c:pt idx="9">
                  <c:v>1.6448536269514715</c:v>
                </c:pt>
              </c:numCache>
            </c:numRef>
          </c:xVal>
          <c:yVal>
            <c:numRef>
              <c:f>Лист1!$F$2:$F$11</c:f>
              <c:numCache>
                <c:formatCode>General</c:formatCode>
                <c:ptCount val="10"/>
                <c:pt idx="0">
                  <c:v>-1.3839803543487497</c:v>
                </c:pt>
                <c:pt idx="1">
                  <c:v>-1.019774997941185</c:v>
                </c:pt>
                <c:pt idx="2">
                  <c:v>-0.54630803461134636</c:v>
                </c:pt>
                <c:pt idx="3">
                  <c:v>-0.36420535640756441</c:v>
                </c:pt>
                <c:pt idx="4">
                  <c:v>-0.14568214256302664</c:v>
                </c:pt>
                <c:pt idx="5">
                  <c:v>1.821026782037909E-2</c:v>
                </c:pt>
                <c:pt idx="6">
                  <c:v>3.6420535640756965E-2</c:v>
                </c:pt>
                <c:pt idx="7">
                  <c:v>0.20031294602416269</c:v>
                </c:pt>
                <c:pt idx="8">
                  <c:v>1.1472468726838301</c:v>
                </c:pt>
                <c:pt idx="9">
                  <c:v>2.0577602637027432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497472"/>
        <c:axId val="75498048"/>
      </c:scatterChart>
      <c:valAx>
        <c:axId val="75497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75498048"/>
        <c:crosses val="autoZero"/>
        <c:crossBetween val="midCat"/>
      </c:valAx>
      <c:valAx>
        <c:axId val="754980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in"/>
        <c:tickLblPos val="nextTo"/>
        <c:crossAx val="7549747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76200</xdr:colOff>
      <xdr:row>7</xdr:row>
      <xdr:rowOff>104774</xdr:rowOff>
    </xdr:from>
    <xdr:to>
      <xdr:col>27</xdr:col>
      <xdr:colOff>361950</xdr:colOff>
      <xdr:row>37</xdr:row>
      <xdr:rowOff>38099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tabSelected="1" workbookViewId="0">
      <selection activeCell="J12" sqref="I2:J12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 s="1">
        <v>3.2</v>
      </c>
      <c r="C2">
        <v>1</v>
      </c>
      <c r="D2">
        <f>(C2-0.5)/10</f>
        <v>0.05</v>
      </c>
      <c r="E2">
        <f>_xlfn.NORM.S.INV(D2)</f>
        <v>-1.6448536269514726</v>
      </c>
      <c r="F2">
        <f>(G2-AVERAGE(G$2:G$11))/_xlfn.STDEV.S(G$2:G$11)</f>
        <v>-1.3839803543487497</v>
      </c>
      <c r="G2" s="1">
        <f>B2 - ($F$16 + A2 * $E$16)</f>
        <v>-0.76000000000000068</v>
      </c>
    </row>
    <row r="3" spans="1:7" x14ac:dyDescent="0.25">
      <c r="A3">
        <v>2</v>
      </c>
      <c r="B3" s="1">
        <v>3.4</v>
      </c>
      <c r="C3">
        <v>2</v>
      </c>
      <c r="D3">
        <f>(C3-0.5)/10</f>
        <v>0.15</v>
      </c>
      <c r="E3">
        <f>_xlfn.NORM.S.INV(D3)</f>
        <v>-1.0364333894937898</v>
      </c>
      <c r="F3">
        <f t="shared" ref="F3:F11" si="0">(G3-AVERAGE(G$2:G$11))/_xlfn.STDEV.S(G$2:G$11)</f>
        <v>-1.019774997941185</v>
      </c>
      <c r="G3" s="1">
        <f>B3 - ($F$16 + A3 * $E$16)</f>
        <v>-0.56000000000000094</v>
      </c>
    </row>
    <row r="4" spans="1:7" x14ac:dyDescent="0.25">
      <c r="A4">
        <v>6</v>
      </c>
      <c r="B4" s="1">
        <v>8.5</v>
      </c>
      <c r="C4">
        <v>3</v>
      </c>
      <c r="D4">
        <f>(C4-0.5)/10</f>
        <v>0.25</v>
      </c>
      <c r="E4">
        <f>_xlfn.NORM.S.INV(D4)</f>
        <v>-0.67448975019608193</v>
      </c>
      <c r="F4">
        <f t="shared" si="0"/>
        <v>-0.54630803461134636</v>
      </c>
      <c r="G4" s="1">
        <f>B4 - ($F$16 + A4 * $E$16)</f>
        <v>-0.29999999999999893</v>
      </c>
    </row>
    <row r="5" spans="1:7" x14ac:dyDescent="0.25">
      <c r="A5">
        <v>6</v>
      </c>
      <c r="B5" s="1">
        <v>8.6</v>
      </c>
      <c r="C5">
        <v>4</v>
      </c>
      <c r="D5">
        <f>(C5-0.5)/10</f>
        <v>0.35</v>
      </c>
      <c r="E5">
        <f>_xlfn.NORM.S.INV(D5)</f>
        <v>-0.38532046640756784</v>
      </c>
      <c r="F5">
        <f t="shared" si="0"/>
        <v>-0.36420535640756441</v>
      </c>
      <c r="G5" s="1">
        <f>B5 - ($F$16 + A5 * $E$16)</f>
        <v>-0.19999999999999929</v>
      </c>
    </row>
    <row r="6" spans="1:7" x14ac:dyDescent="0.25">
      <c r="A6">
        <v>4</v>
      </c>
      <c r="B6" s="1">
        <v>6.3</v>
      </c>
      <c r="C6">
        <v>5</v>
      </c>
      <c r="D6">
        <f>(C6-0.5)/10</f>
        <v>0.45</v>
      </c>
      <c r="E6">
        <f>_xlfn.NORM.S.INV(D6)</f>
        <v>-0.12566134685507402</v>
      </c>
      <c r="F6">
        <f t="shared" si="0"/>
        <v>-0.14568214256302664</v>
      </c>
      <c r="G6" s="1">
        <f>B6 - ($F$16 + A6 * $E$16)</f>
        <v>-8.0000000000000071E-2</v>
      </c>
    </row>
    <row r="7" spans="1:7" x14ac:dyDescent="0.25">
      <c r="A7">
        <v>5</v>
      </c>
      <c r="B7" s="1">
        <v>7.6</v>
      </c>
      <c r="C7">
        <v>6</v>
      </c>
      <c r="D7">
        <f>(C7-0.5)/10</f>
        <v>0.55000000000000004</v>
      </c>
      <c r="E7">
        <f>_xlfn.NORM.S.INV(D7)</f>
        <v>0.12566134685507416</v>
      </c>
      <c r="F7">
        <f t="shared" si="0"/>
        <v>1.821026782037909E-2</v>
      </c>
      <c r="G7" s="1">
        <f>B7 - ($F$16 + A7 * $E$16)</f>
        <v>1.0000000000000675E-2</v>
      </c>
    </row>
    <row r="8" spans="1:7" x14ac:dyDescent="0.25">
      <c r="A8">
        <v>4</v>
      </c>
      <c r="B8" s="1">
        <v>6.4</v>
      </c>
      <c r="C8">
        <v>7</v>
      </c>
      <c r="D8">
        <f>(C8-0.5)/10</f>
        <v>0.65</v>
      </c>
      <c r="E8">
        <f>_xlfn.NORM.S.INV(D8)</f>
        <v>0.38532046640756784</v>
      </c>
      <c r="F8">
        <f t="shared" si="0"/>
        <v>3.6420535640756965E-2</v>
      </c>
      <c r="G8" s="1">
        <f>B8 - ($F$16 + A8 * $E$16)</f>
        <v>2.0000000000000462E-2</v>
      </c>
    </row>
    <row r="9" spans="1:7" x14ac:dyDescent="0.25">
      <c r="A9">
        <v>5</v>
      </c>
      <c r="B9" s="1">
        <v>7.7</v>
      </c>
      <c r="C9">
        <v>8</v>
      </c>
      <c r="D9">
        <f>(C9-0.5)/10</f>
        <v>0.75</v>
      </c>
      <c r="E9">
        <f>_xlfn.NORM.S.INV(D9)</f>
        <v>0.67448975019608193</v>
      </c>
      <c r="F9">
        <f t="shared" si="0"/>
        <v>0.20031294602416269</v>
      </c>
      <c r="G9" s="1">
        <f>B9 - ($F$16 + A9 * $E$16)</f>
        <v>0.11000000000000121</v>
      </c>
    </row>
    <row r="10" spans="1:7" x14ac:dyDescent="0.25">
      <c r="A10">
        <v>3</v>
      </c>
      <c r="B10" s="1">
        <v>5.8</v>
      </c>
      <c r="C10">
        <v>9</v>
      </c>
      <c r="D10">
        <f>(C10-0.5)/10</f>
        <v>0.85</v>
      </c>
      <c r="E10">
        <f>_xlfn.NORM.S.INV(D10)</f>
        <v>1.0364333894937898</v>
      </c>
      <c r="F10">
        <f t="shared" si="0"/>
        <v>1.1472468726838301</v>
      </c>
      <c r="G10" s="1">
        <f>B10 - ($F$16 + A10 * $E$16)</f>
        <v>0.62999999999999989</v>
      </c>
    </row>
    <row r="11" spans="1:7" x14ac:dyDescent="0.25">
      <c r="A11">
        <v>3</v>
      </c>
      <c r="B11" s="1">
        <v>6.3</v>
      </c>
      <c r="C11">
        <v>10</v>
      </c>
      <c r="D11">
        <f>(C11-0.5)/10</f>
        <v>0.95</v>
      </c>
      <c r="E11">
        <f>_xlfn.NORM.S.INV(D11)</f>
        <v>1.6448536269514715</v>
      </c>
      <c r="F11">
        <f t="shared" si="0"/>
        <v>2.0577602637027432</v>
      </c>
      <c r="G11" s="1">
        <f>B11 - ($F$16 + A11 * $E$16)</f>
        <v>1.1299999999999999</v>
      </c>
    </row>
    <row r="15" spans="1:7" x14ac:dyDescent="0.25">
      <c r="D15" t="s">
        <v>7</v>
      </c>
      <c r="E15" t="s">
        <v>8</v>
      </c>
      <c r="F15" t="s">
        <v>9</v>
      </c>
    </row>
    <row r="16" spans="1:7" x14ac:dyDescent="0.25">
      <c r="B16" s="1">
        <f>AVERAGE(B2:B11)</f>
        <v>6.38</v>
      </c>
      <c r="D16">
        <f>CORREL(A2:A11,B2:B11)</f>
        <v>0.95664878461854475</v>
      </c>
      <c r="E16">
        <f>D16*_xlfn.STDEV.S(B2:B11)/_xlfn.STDEV.S(A2:A11)</f>
        <v>1.2099999999999995</v>
      </c>
      <c r="F16">
        <f>AVERAGE(B2:B11) - AVERAGE(A2:A11)*E16</f>
        <v>1.5400000000000018</v>
      </c>
    </row>
  </sheetData>
  <sortState ref="C2:D11">
    <sortCondition ref="C2:C11"/>
  </sortState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2020-11-30T21:45:11Z</dcterms:modified>
</cp:coreProperties>
</file>