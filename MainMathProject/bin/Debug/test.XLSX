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B16" i="1" l="1"/>
  <c r="G3" i="1"/>
  <c r="G4" i="1"/>
  <c r="G5" i="1"/>
  <c r="G6" i="1"/>
  <c r="G7" i="1"/>
  <c r="G8" i="1"/>
  <c r="G9" i="1"/>
  <c r="G10" i="1"/>
  <c r="G11" i="1"/>
  <c r="G2" i="1"/>
  <c r="D2" i="1"/>
  <c r="E2" i="1" s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<sst xmlns="http://schemas.openxmlformats.org/spreadsheetml/2006/main" count="7" uniqueCount="7">
  <si>
    <t>x</t>
  </si>
  <si>
    <t>y</t>
  </si>
  <si>
    <t>i</t>
  </si>
  <si>
    <t>(i-0,5)/n</t>
  </si>
  <si>
    <t>zt</t>
  </si>
  <si>
    <t>za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</si>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</sst>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Лист1!$E$2:$E$11</c:f>
              <c:numCache>
                <c:formatCode>General</c:formatCode>
                <c:ptCount val="10"/>
                <c:pt idx="0">
                  <c:v>-1.6448536269514726</c:v>
                </c:pt>
                <c:pt idx="1">
                  <c:v>-1.0364333894937898</c:v>
                </c:pt>
                <c:pt idx="2">
                  <c:v>-0.67448975019608193</c:v>
                </c:pt>
                <c:pt idx="3">
                  <c:v>-0.38532046640756784</c:v>
                </c:pt>
                <c:pt idx="4">
                  <c:v>-0.12566134685507402</c:v>
                </c:pt>
                <c:pt idx="5">
                  <c:v>0.12566134685507416</c:v>
                </c:pt>
                <c:pt idx="6">
                  <c:v>0.38532046640756784</c:v>
                </c:pt>
                <c:pt idx="7">
                  <c:v>0.67448975019608193</c:v>
                </c:pt>
                <c:pt idx="8">
                  <c:v>1.0364333894937898</c:v>
                </c:pt>
                <c:pt idx="9">
                  <c:v>1.6448536269514715</c:v>
                </c:pt>
              </c:numCache>
            </c:numRef>
          </c:xVal>
          <c:yVal>
            <c:numRef>
              <c:f>Лист1!$F$2:$F$11</c:f>
              <c:numCache>
                <c:formatCode>General</c:formatCode>
                <c:ptCount val="10"/>
                <c:pt idx="0">
                  <c:v>-1.6865550861170593</c:v>
                </c:pt>
                <c:pt idx="1">
                  <c:v>-1.5804824391914583</c:v>
                </c:pt>
                <c:pt idx="2">
                  <c:v>-0.30761067608424397</c:v>
                </c:pt>
                <c:pt idx="3">
                  <c:v>-4.2429058770240988E-2</c:v>
                </c:pt>
                <c:pt idx="4">
                  <c:v>-4.2429058770240988E-2</c:v>
                </c:pt>
                <c:pt idx="5">
                  <c:v>1.0607264692559893E-2</c:v>
                </c:pt>
                <c:pt idx="6">
                  <c:v>0.64704314624616666</c:v>
                </c:pt>
                <c:pt idx="7">
                  <c:v>0.70007946970896762</c:v>
                </c:pt>
                <c:pt idx="8">
                  <c:v>1.1243700574113722</c:v>
                </c:pt>
                <c:pt idx="9">
                  <c:v>1.1774063808741726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37696"/>
        <c:axId val="120637120"/>
      </c:scatterChart>
      <c:valAx>
        <c:axId val="12063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637120"/>
        <c:crosses val="autoZero"/>
        <c:crossBetween val="midCat"/>
      </c:valAx>
      <c:valAx>
        <c:axId val="12063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in"/>
        <c:tickLblPos val="nextTo"/>
        <c:crossAx val="1206376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8</xdr:row>
      <xdr:rowOff>190499</xdr:rowOff>
    </xdr:from>
    <xdr:to>
      <xdr:col>23</xdr:col>
      <xdr:colOff>476250</xdr:colOff>
      <xdr:row>38</xdr:row>
      <xdr:rowOff>123824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2" sqref="G2:G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 s="1">
        <v>3.2</v>
      </c>
      <c r="C2">
        <v>1</v>
      </c>
      <c r="D2">
        <f>(C2-0.5)/10</f>
        <v>0.05</v>
      </c>
      <c r="E2">
        <f>_xlfn.NORM.S.INV(D2)</f>
        <v>-1.6448536269514726</v>
      </c>
      <c r="F2">
        <f>(B2-AVERAGE(B$2:B$11))/_xlfn.STDEV.S(B$2:B$11)</f>
        <v>-1.6865550861170593</v>
      </c>
      <c r="G2" s="1">
        <f>B2-AVERAGE($B$2:$B$11)</f>
        <v>-3.1800000000000006</v>
      </c>
    </row>
    <row r="3" spans="1:7" x14ac:dyDescent="0.25">
      <c r="A3">
        <v>2</v>
      </c>
      <c r="B3" s="1">
        <v>3.4</v>
      </c>
      <c r="C3">
        <v>2</v>
      </c>
      <c r="D3">
        <f t="shared" ref="D3:D11" si="0">(C3-0.5)/10</f>
        <v>0.15</v>
      </c>
      <c r="E3">
        <f t="shared" ref="E3:E11" si="1">_xlfn.NORM.S.INV(D3)</f>
        <v>-1.0364333894937898</v>
      </c>
      <c r="F3">
        <f t="shared" ref="F3:F11" si="2">(B3-AVERAGE(B$2:B$11))/_xlfn.STDEV.S(B$2:B$11)</f>
        <v>-1.5804824391914583</v>
      </c>
      <c r="G3" s="1">
        <f t="shared" ref="G3:G11" si="3">B3-AVERAGE($B$2:$B$11)</f>
        <v>-2.9800000000000009</v>
      </c>
    </row>
    <row r="4" spans="1:7" x14ac:dyDescent="0.25">
      <c r="A4">
        <v>3</v>
      </c>
      <c r="B4" s="1">
        <v>5.8</v>
      </c>
      <c r="C4">
        <v>3</v>
      </c>
      <c r="D4">
        <f t="shared" si="0"/>
        <v>0.25</v>
      </c>
      <c r="E4">
        <f t="shared" si="1"/>
        <v>-0.67448975019608193</v>
      </c>
      <c r="F4">
        <f t="shared" si="2"/>
        <v>-0.30761067608424397</v>
      </c>
      <c r="G4" s="1">
        <f t="shared" si="3"/>
        <v>-0.58000000000000096</v>
      </c>
    </row>
    <row r="5" spans="1:7" x14ac:dyDescent="0.25">
      <c r="A5">
        <v>3</v>
      </c>
      <c r="B5" s="1">
        <v>6.3</v>
      </c>
      <c r="C5">
        <v>4</v>
      </c>
      <c r="D5">
        <f t="shared" si="0"/>
        <v>0.35</v>
      </c>
      <c r="E5">
        <f t="shared" si="1"/>
        <v>-0.38532046640756784</v>
      </c>
      <c r="F5">
        <f t="shared" si="2"/>
        <v>-4.2429058770240988E-2</v>
      </c>
      <c r="G5" s="1">
        <f t="shared" si="3"/>
        <v>-8.0000000000000959E-2</v>
      </c>
    </row>
    <row r="6" spans="1:7" x14ac:dyDescent="0.25">
      <c r="A6">
        <v>4</v>
      </c>
      <c r="B6" s="1">
        <v>6.3</v>
      </c>
      <c r="C6">
        <v>5</v>
      </c>
      <c r="D6">
        <f t="shared" si="0"/>
        <v>0.45</v>
      </c>
      <c r="E6">
        <f t="shared" si="1"/>
        <v>-0.12566134685507402</v>
      </c>
      <c r="F6">
        <f t="shared" si="2"/>
        <v>-4.2429058770240988E-2</v>
      </c>
      <c r="G6" s="1">
        <f t="shared" si="3"/>
        <v>-8.0000000000000959E-2</v>
      </c>
    </row>
    <row r="7" spans="1:7" x14ac:dyDescent="0.25">
      <c r="A7">
        <v>4</v>
      </c>
      <c r="B7" s="1">
        <v>6.4</v>
      </c>
      <c r="C7">
        <v>6</v>
      </c>
      <c r="D7">
        <f t="shared" si="0"/>
        <v>0.55000000000000004</v>
      </c>
      <c r="E7">
        <f t="shared" si="1"/>
        <v>0.12566134685507416</v>
      </c>
      <c r="F7">
        <f t="shared" si="2"/>
        <v>1.0607264692559893E-2</v>
      </c>
      <c r="G7" s="1">
        <f t="shared" si="3"/>
        <v>1.9999999999999574E-2</v>
      </c>
    </row>
    <row r="8" spans="1:7" x14ac:dyDescent="0.25">
      <c r="A8">
        <v>5</v>
      </c>
      <c r="B8" s="1">
        <v>7.6</v>
      </c>
      <c r="C8">
        <v>7</v>
      </c>
      <c r="D8">
        <f t="shared" si="0"/>
        <v>0.65</v>
      </c>
      <c r="E8">
        <f t="shared" si="1"/>
        <v>0.38532046640756784</v>
      </c>
      <c r="F8">
        <f t="shared" si="2"/>
        <v>0.64704314624616666</v>
      </c>
      <c r="G8" s="1">
        <f t="shared" si="3"/>
        <v>1.2199999999999989</v>
      </c>
    </row>
    <row r="9" spans="1:7" x14ac:dyDescent="0.25">
      <c r="A9">
        <v>5</v>
      </c>
      <c r="B9" s="1">
        <v>7.7</v>
      </c>
      <c r="C9">
        <v>8</v>
      </c>
      <c r="D9">
        <f t="shared" si="0"/>
        <v>0.75</v>
      </c>
      <c r="E9">
        <f t="shared" si="1"/>
        <v>0.67448975019608193</v>
      </c>
      <c r="F9">
        <f t="shared" si="2"/>
        <v>0.70007946970896762</v>
      </c>
      <c r="G9" s="1">
        <f t="shared" si="3"/>
        <v>1.3199999999999994</v>
      </c>
    </row>
    <row r="10" spans="1:7" x14ac:dyDescent="0.25">
      <c r="A10">
        <v>6</v>
      </c>
      <c r="B10" s="1">
        <v>8.5</v>
      </c>
      <c r="C10">
        <v>9</v>
      </c>
      <c r="D10">
        <f t="shared" si="0"/>
        <v>0.85</v>
      </c>
      <c r="E10">
        <f t="shared" si="1"/>
        <v>1.0364333894937898</v>
      </c>
      <c r="F10">
        <f t="shared" si="2"/>
        <v>1.1243700574113722</v>
      </c>
      <c r="G10" s="1">
        <f t="shared" si="3"/>
        <v>2.1199999999999992</v>
      </c>
    </row>
    <row r="11" spans="1:7" x14ac:dyDescent="0.25">
      <c r="A11">
        <v>6</v>
      </c>
      <c r="B11" s="1">
        <v>8.6</v>
      </c>
      <c r="C11">
        <v>10</v>
      </c>
      <c r="D11">
        <f t="shared" si="0"/>
        <v>0.95</v>
      </c>
      <c r="E11">
        <f t="shared" si="1"/>
        <v>1.6448536269514715</v>
      </c>
      <c r="F11">
        <f t="shared" si="2"/>
        <v>1.1774063808741726</v>
      </c>
      <c r="G11" s="1">
        <f t="shared" si="3"/>
        <v>2.2199999999999989</v>
      </c>
    </row>
    <row r="16" spans="1:7" x14ac:dyDescent="0.25">
      <c r="B16" s="1">
        <f>AVERAGE(B2:B11)</f>
        <v>6.3800000000000008</v>
      </c>
    </row>
  </sheetData>
  <sortState ref="A2:B11">
    <sortCondition ref="B2:B11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2020-11-29T20:06:13Z</dcterms:modified>
</cp:coreProperties>
</file>